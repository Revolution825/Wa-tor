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rm\Desktop\Wa-tor\"/>
    </mc:Choice>
  </mc:AlternateContent>
  <xr:revisionPtr revIDLastSave="0" documentId="13_ncr:1_{D0034F31-DC83-4E5B-9885-7B02C7BA979F}" xr6:coauthVersionLast="47" xr6:coauthVersionMax="47" xr10:uidLastSave="{00000000-0000-0000-0000-000000000000}"/>
  <bookViews>
    <workbookView xWindow="-108" yWindow="-108" windowWidth="23256" windowHeight="12456" xr2:uid="{26A5ACDC-339B-4297-8664-9AE5745AD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R7" i="1"/>
  <c r="S10" i="1"/>
  <c r="S9" i="1"/>
  <c r="S8" i="1"/>
  <c r="Q7" i="1"/>
  <c r="R10" i="1"/>
  <c r="R9" i="1"/>
  <c r="R8" i="1"/>
  <c r="Q10" i="1"/>
  <c r="Q9" i="1"/>
  <c r="Q8" i="1"/>
  <c r="P6" i="1"/>
  <c r="P10" i="1"/>
  <c r="P9" i="1"/>
  <c r="P8" i="1"/>
  <c r="P7" i="1"/>
</calcChain>
</file>

<file path=xl/sharedStrings.xml><?xml version="1.0" encoding="utf-8"?>
<sst xmlns="http://schemas.openxmlformats.org/spreadsheetml/2006/main" count="34" uniqueCount="34">
  <si>
    <t>Threads</t>
  </si>
  <si>
    <t>Test Machine Specifications</t>
  </si>
  <si>
    <t>AMD Ryzen 7 5825U</t>
  </si>
  <si>
    <t>2000 Mhz</t>
  </si>
  <si>
    <t>8 Cores</t>
  </si>
  <si>
    <t>16 Logical Processors</t>
  </si>
  <si>
    <t>Windows 11 10.0.26100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</si>
  <si>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</si>
  <si>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</si>
  <si>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</si>
  <si>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</si>
  <si>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</si>
  <si>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</si>
  <si>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</si>
  <si>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</si>
  <si>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</si>
  <si>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</si>
  <si>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Average</t>
  </si>
  <si>
    <t>Parameters</t>
  </si>
  <si>
    <t>numShark</t>
  </si>
  <si>
    <t>numFish</t>
  </si>
  <si>
    <t>fishBreed</t>
  </si>
  <si>
    <t>sharkBreed</t>
  </si>
  <si>
    <t>starve</t>
  </si>
  <si>
    <t>energyGain</t>
  </si>
  <si>
    <t>width</t>
  </si>
  <si>
    <t>height</t>
  </si>
  <si>
    <t>Sequential</t>
  </si>
  <si>
    <t>Absolute Speedup</t>
  </si>
  <si>
    <t>Relative Speedup</t>
  </si>
  <si>
    <t>Note</t>
  </si>
  <si>
    <t>All runs are measured in seconds</t>
  </si>
  <si>
    <t>Efficiency</t>
  </si>
  <si>
    <t>Wa-Tor Metrics - Diarmuid O'Neill - C00282898 - 24/11/2025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</si>
</sst>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Threads vs Average 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Sheet1!$E$6:$E$10</c:f>
              <c:strCache>
                <c:ptCount val="5"/>
                <c:pt idx="0">
                  <c:v>Sequential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strCache>
            </c:strRef>
          </c:cat>
          <c:val>
            <c:numRef>
              <c:f>Sheet1!$P$6:$P$10</c:f>
              <c:numCache>
                <c:formatCode>General</c:formatCode>
                <c:ptCount val="5"/>
                <c:pt idx="0">
                  <c:v>103.407</c:v>
                </c:pt>
                <c:pt idx="1">
                  <c:v>100.62899999999999</c:v>
                </c:pt>
                <c:pt idx="2">
                  <c:v>57.613999999999997</c:v>
                </c:pt>
                <c:pt idx="3">
                  <c:v>44.765000000000001</c:v>
                </c:pt>
                <c:pt idx="4">
                  <c:v>39.388999999999996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6-4177-91E5-4FC17F618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964816"/>
        <c:axId val="681962416"/>
      </c:barChart>
      <c:catAx>
        <c:axId val="68196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Number</a:t>
                </a:r>
                <a:r>
                  <a:rPr lang="en-IE" baseline="0"/>
                  <a:t> of Threads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62416"/>
        <c:crosses val="autoZero"/>
        <c:auto val="1"/>
        <c:lblAlgn val="ctr"/>
        <c:lblOffset val="100"/>
        <c:noMultiLvlLbl val="0"/>
      </c:catAx>
      <c:valAx>
        <c:axId val="68196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Average</a:t>
                </a:r>
                <a:r>
                  <a:rPr lang="en-IE" baseline="0"/>
                  <a:t> Execution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6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Number</a:t>
            </a:r>
            <a:r>
              <a:rPr lang="en-IE" baseline="0"/>
              <a:t> of Threads vs Speedup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Sheet1!$Q$5:$Q$6</c:f>
              <c:strCache>
                <c:ptCount val="2"/>
                <c:pt idx="0">
                  <c:v>Absolute 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Sheet1!$E$7:$E$10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Sheet1!$Q$7:$Q$10</c:f>
              <c:numCache>
                <c:formatCode>General</c:formatCode>
                <c:ptCount val="4"/>
                <c:pt idx="0">
                  <c:v>1.0276063560206303</c:v>
                </c:pt>
                <c:pt idx="1">
                  <c:v>1.7948241746797653</c:v>
                </c:pt>
                <c:pt idx="2">
                  <c:v>2.3099966491678767</c:v>
                </c:pt>
                <c:pt idx="3">
                  <c:v>2.625276092310036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5-4ECB-8A5E-94860AF741ED}"/>
            </c:ext>
          </c:extLst>
        </c:ser>
        <c:ser>
          <c:idx val="1"/>
          <c:order val="1"/>
          <c:tx>
            <c:strRef>
              <c:f>Sheet1!$R$5:$R$6</c:f>
              <c:strCache>
                <c:ptCount val="2"/>
                <c:pt idx="0">
                  <c:v>Relative Speedup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Sheet1!$E$7:$E$10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Sheet1!$R$7:$R$10</c:f>
              <c:numCache>
                <c:formatCode>General</c:formatCode>
                <c:ptCount val="4"/>
                <c:pt idx="0">
                  <c:v>1</c:v>
                </c:pt>
                <c:pt idx="1">
                  <c:v>1.7466067275315027</c:v>
                </c:pt>
                <c:pt idx="2">
                  <c:v>2.2479392382441636</c:v>
                </c:pt>
                <c:pt idx="3">
                  <c:v>2.5547487877326156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5-4ECB-8A5E-94860AF74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075840"/>
        <c:axId val="804076320"/>
      </c:barChart>
      <c:catAx>
        <c:axId val="80407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Number</a:t>
                </a:r>
                <a:r>
                  <a:rPr lang="en-IE" baseline="0"/>
                  <a:t>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76320"/>
        <c:crosses val="autoZero"/>
        <c:auto val="1"/>
        <c:lblAlgn val="ctr"/>
        <c:lblOffset val="100"/>
        <c:noMultiLvlLbl val="0"/>
      </c:catAx>
      <c:valAx>
        <c:axId val="8040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7584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Threads vs Efficiency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Sheet1!$S$5:$S$6</c:f>
              <c:strCache>
                <c:ptCount val="2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Sheet1!$E$7:$E$10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Sheet1!$S$7:$S$10</c:f>
              <c:numCache>
                <c:formatCode>General</c:formatCode>
                <c:ptCount val="4"/>
                <c:pt idx="0">
                  <c:v>1</c:v>
                </c:pt>
                <c:pt idx="1">
                  <c:v>0.87330336376575135</c:v>
                </c:pt>
                <c:pt idx="2">
                  <c:v>0.56198480956104091</c:v>
                </c:pt>
                <c:pt idx="3">
                  <c:v>0.31934359846657695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8-431B-BD93-1C7DD9C91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748224"/>
        <c:axId val="647746784"/>
      </c:scatterChart>
      <c:valAx>
        <c:axId val="64774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46784"/>
        <c:crosses val="autoZero"/>
        <c:crossBetween val="midCat"/>
      </c:valAx>
      <c:valAx>
        <c:axId val="64774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4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179070</xdr:rowOff>
    </xdr:from>
    <xdr:to>
      <xdr:col>11</xdr:col>
      <xdr:colOff>281940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0475A-0DE6-B3B7-EF26-975294E06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10</xdr:row>
      <xdr:rowOff>179070</xdr:rowOff>
    </xdr:from>
    <xdr:to>
      <xdr:col>18</xdr:col>
      <xdr:colOff>0</xdr:colOff>
      <xdr:row>25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1872A8-3A3D-9C50-461F-4A83E2EA1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10</xdr:row>
      <xdr:rowOff>179070</xdr:rowOff>
    </xdr:from>
    <xdr:to>
      <xdr:col>26</xdr:col>
      <xdr:colOff>304800</xdr:colOff>
      <xdr:row>25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28FDFC-7610-2F85-460D-44A47C404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A147-773B-419F-A039-60051B1C2F31}">
  <dimension ref="A1:S23"/>
  <sheetViews>
    <sheetView tabSelected="1" topLeftCell="G1" workbookViewId="0">
      <selection activeCell="AB5" sqref="AB5"/>
    </sheetView>
  </sheetViews>
  <sheetFormatPr defaultRowHeight="14.4" x14ac:dyDescent="0.3"/>
  <cols>
    <col min="3" max="3" width="8.88671875" customWidth="1"/>
    <col min="5" max="5" width="9.21875" customWidth="1"/>
    <col min="17" max="17" width="15.77734375" customWidth="1"/>
    <col min="18" max="18" width="15.33203125" customWidth="1"/>
  </cols>
  <sheetData>
    <row r="1" spans="1:19" ht="14.4" customHeight="1" x14ac:dyDescent="0.3">
      <c r="A1" s="10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ht="14.4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5" spans="1:19" x14ac:dyDescent="0.3">
      <c r="A5" s="4" t="s">
        <v>1</v>
      </c>
      <c r="B5" s="4"/>
      <c r="C5" s="4"/>
      <c r="E5" s="2" t="s">
        <v>0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7" t="s">
        <v>28</v>
      </c>
      <c r="R5" s="7" t="s">
        <v>29</v>
      </c>
      <c r="S5" s="7" t="s">
        <v>32</v>
      </c>
    </row>
    <row r="6" spans="1:19" x14ac:dyDescent="0.3">
      <c r="A6" s="5" t="s">
        <v>2</v>
      </c>
      <c r="B6" s="5"/>
      <c r="C6" s="5"/>
      <c r="E6" s="7" t="s">
        <v>27</v>
      </c>
      <c r="F6" s="8">
        <v>102.33</v>
      </c>
      <c r="G6" s="8">
        <v>106.49</v>
      </c>
      <c r="H6" s="8">
        <v>103.52</v>
      </c>
      <c r="I6" s="8">
        <v>101.97</v>
      </c>
      <c r="J6" s="8">
        <v>104.55</v>
      </c>
      <c r="K6" s="8">
        <v>102.24</v>
      </c>
      <c r="L6" s="8">
        <v>102.59</v>
      </c>
      <c r="M6" s="8">
        <v>102.75</v>
      </c>
      <c r="N6" s="8">
        <v>103.2</v>
      </c>
      <c r="O6" s="8">
        <v>104.43</v>
      </c>
      <c r="P6" s="8">
        <f>AVERAGE(F6:O6)</f>
        <v>103.407</v>
      </c>
      <c r="Q6" s="8"/>
      <c r="R6" s="8"/>
    </row>
    <row r="7" spans="1:19" x14ac:dyDescent="0.3">
      <c r="A7" s="5" t="s">
        <v>3</v>
      </c>
      <c r="B7" s="5"/>
      <c r="C7" s="5"/>
      <c r="E7" s="2">
        <v>1</v>
      </c>
      <c r="F7" s="1">
        <v>100.62</v>
      </c>
      <c r="G7" s="1">
        <v>100.64</v>
      </c>
      <c r="H7" s="1">
        <v>100.62</v>
      </c>
      <c r="I7" s="1">
        <v>100.5</v>
      </c>
      <c r="J7" s="1">
        <v>100.49</v>
      </c>
      <c r="K7" s="1">
        <v>100.64</v>
      </c>
      <c r="L7" s="1">
        <v>100.75</v>
      </c>
      <c r="M7" s="1">
        <v>100.67</v>
      </c>
      <c r="N7" s="1">
        <v>100.75</v>
      </c>
      <c r="O7" s="1">
        <v>100.61</v>
      </c>
      <c r="P7" s="1">
        <f>AVERAGE(F7:O7)</f>
        <v>100.62899999999999</v>
      </c>
      <c r="Q7">
        <f>P6/P7</f>
        <v>1.0276063560206303</v>
      </c>
      <c r="R7">
        <f>P7/P7</f>
        <v>1</v>
      </c>
      <c r="S7">
        <f>R7/E7</f>
        <v>1</v>
      </c>
    </row>
    <row r="8" spans="1:19" x14ac:dyDescent="0.3">
      <c r="A8" s="5" t="s">
        <v>4</v>
      </c>
      <c r="B8" s="5"/>
      <c r="C8" s="5"/>
      <c r="E8" s="2">
        <v>2</v>
      </c>
      <c r="F8" s="1">
        <v>57.92</v>
      </c>
      <c r="G8" s="1">
        <v>58.72</v>
      </c>
      <c r="H8" s="1">
        <v>58.89</v>
      </c>
      <c r="I8" s="1">
        <v>57.59</v>
      </c>
      <c r="J8" s="1">
        <v>57.16</v>
      </c>
      <c r="K8" s="1">
        <v>56.74</v>
      </c>
      <c r="L8" s="1">
        <v>57.29</v>
      </c>
      <c r="M8" s="1">
        <v>58</v>
      </c>
      <c r="N8" s="1">
        <v>56.96</v>
      </c>
      <c r="O8" s="1">
        <v>56.87</v>
      </c>
      <c r="P8" s="1">
        <f>AVERAGE(F8:O8)</f>
        <v>57.613999999999997</v>
      </c>
      <c r="Q8">
        <f>P6/P8</f>
        <v>1.7948241746797653</v>
      </c>
      <c r="R8">
        <f>P7/P8</f>
        <v>1.7466067275315027</v>
      </c>
      <c r="S8">
        <f>R8/E8</f>
        <v>0.87330336376575135</v>
      </c>
    </row>
    <row r="9" spans="1:19" x14ac:dyDescent="0.3">
      <c r="A9" s="5" t="s">
        <v>5</v>
      </c>
      <c r="B9" s="5"/>
      <c r="C9" s="5"/>
      <c r="E9" s="2">
        <v>4</v>
      </c>
      <c r="F9" s="1">
        <v>44.85</v>
      </c>
      <c r="G9" s="1">
        <v>44.61</v>
      </c>
      <c r="H9" s="1">
        <v>44.87</v>
      </c>
      <c r="I9" s="1">
        <v>45.32</v>
      </c>
      <c r="J9" s="1">
        <v>44.55</v>
      </c>
      <c r="K9" s="1">
        <v>44.89</v>
      </c>
      <c r="L9" s="1">
        <v>44.72</v>
      </c>
      <c r="M9" s="1">
        <v>44.69</v>
      </c>
      <c r="N9" s="1">
        <v>44.29</v>
      </c>
      <c r="O9" s="1">
        <v>44.86</v>
      </c>
      <c r="P9" s="1">
        <f>AVERAGE(F9:O9)</f>
        <v>44.765000000000001</v>
      </c>
      <c r="Q9">
        <f>P6/P9</f>
        <v>2.3099966491678767</v>
      </c>
      <c r="R9">
        <f>P7/P9</f>
        <v>2.2479392382441636</v>
      </c>
      <c r="S9">
        <f>R9/E9</f>
        <v>0.56198480956104091</v>
      </c>
    </row>
    <row r="10" spans="1:19" x14ac:dyDescent="0.3">
      <c r="A10" s="5" t="s">
        <v>6</v>
      </c>
      <c r="B10" s="5"/>
      <c r="C10" s="5"/>
      <c r="E10" s="2">
        <v>8</v>
      </c>
      <c r="F10" s="1">
        <v>39.53</v>
      </c>
      <c r="G10" s="1">
        <v>39.369999999999997</v>
      </c>
      <c r="H10" s="1">
        <v>39.75</v>
      </c>
      <c r="I10" s="1">
        <v>39.659999999999997</v>
      </c>
      <c r="J10" s="1">
        <v>39.29</v>
      </c>
      <c r="K10" s="1">
        <v>39.25</v>
      </c>
      <c r="L10" s="1">
        <v>39.35</v>
      </c>
      <c r="M10" s="1">
        <v>39.31</v>
      </c>
      <c r="N10" s="1">
        <v>39.15</v>
      </c>
      <c r="O10" s="1">
        <v>39.229999999999997</v>
      </c>
      <c r="P10" s="1">
        <f>AVERAGE(F10:O10)</f>
        <v>39.388999999999996</v>
      </c>
      <c r="Q10">
        <f>P6/P10</f>
        <v>2.625276092310036</v>
      </c>
      <c r="R10">
        <f>P7/P10</f>
        <v>2.5547487877326156</v>
      </c>
      <c r="S10">
        <f>R10/E10</f>
        <v>0.31934359846657695</v>
      </c>
    </row>
    <row r="12" spans="1:19" x14ac:dyDescent="0.3">
      <c r="A12" s="4" t="s">
        <v>18</v>
      </c>
      <c r="B12" s="5"/>
      <c r="C12" s="5"/>
    </row>
    <row r="13" spans="1:19" x14ac:dyDescent="0.3">
      <c r="A13" s="5" t="s">
        <v>19</v>
      </c>
      <c r="B13" s="5"/>
      <c r="C13">
        <v>100</v>
      </c>
    </row>
    <row r="14" spans="1:19" x14ac:dyDescent="0.3">
      <c r="A14" s="5" t="s">
        <v>20</v>
      </c>
      <c r="B14" s="5"/>
      <c r="C14">
        <v>200000</v>
      </c>
    </row>
    <row r="15" spans="1:19" x14ac:dyDescent="0.3">
      <c r="A15" s="5" t="s">
        <v>21</v>
      </c>
      <c r="B15" s="5"/>
      <c r="C15">
        <v>5</v>
      </c>
    </row>
    <row r="16" spans="1:19" x14ac:dyDescent="0.3">
      <c r="A16" s="5" t="s">
        <v>22</v>
      </c>
      <c r="B16" s="5"/>
      <c r="C16">
        <v>10</v>
      </c>
    </row>
    <row r="17" spans="1:3" x14ac:dyDescent="0.3">
      <c r="A17" s="5" t="s">
        <v>23</v>
      </c>
      <c r="B17" s="5"/>
      <c r="C17">
        <v>4</v>
      </c>
    </row>
    <row r="18" spans="1:3" x14ac:dyDescent="0.3">
      <c r="A18" s="5" t="s">
        <v>24</v>
      </c>
      <c r="B18" s="5"/>
      <c r="C18">
        <v>2</v>
      </c>
    </row>
    <row r="19" spans="1:3" x14ac:dyDescent="0.3">
      <c r="A19" s="5" t="s">
        <v>25</v>
      </c>
      <c r="B19" s="5"/>
      <c r="C19">
        <v>1800</v>
      </c>
    </row>
    <row r="20" spans="1:3" x14ac:dyDescent="0.3">
      <c r="A20" s="5" t="s">
        <v>26</v>
      </c>
      <c r="B20" s="5"/>
      <c r="C20">
        <v>1000</v>
      </c>
    </row>
    <row r="22" spans="1:3" x14ac:dyDescent="0.3">
      <c r="A22" s="7" t="s">
        <v>30</v>
      </c>
    </row>
    <row r="23" spans="1:3" x14ac:dyDescent="0.3">
      <c r="A23" s="6" t="s">
        <v>31</v>
      </c>
      <c r="B23" s="6"/>
      <c r="C23" s="6"/>
    </row>
  </sheetData>
  <mergeCells count="17">
    <mergeCell ref="A23:C23"/>
    <mergeCell ref="A1:K2"/>
    <mergeCell ref="A16:B16"/>
    <mergeCell ref="A17:B17"/>
    <mergeCell ref="A18:B18"/>
    <mergeCell ref="A19:B19"/>
    <mergeCell ref="A20:B20"/>
    <mergeCell ref="A10:C10"/>
    <mergeCell ref="A12:C12"/>
    <mergeCell ref="A13:B13"/>
    <mergeCell ref="A14:B14"/>
    <mergeCell ref="A15:B15"/>
    <mergeCell ref="A5:C5"/>
    <mergeCell ref="A6:C6"/>
    <mergeCell ref="A7:C7"/>
    <mergeCell ref="A8:C8"/>
    <mergeCell ref="A9:C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  C00282898) Diarmuid O Neill</dc:creator>
  <cp:lastModifiedBy>(Student  C00282898) Diarmuid O Neill</cp:lastModifiedBy>
  <dcterms:created xsi:type="dcterms:W3CDTF">2025-11-20T21:24:29Z</dcterms:created>
  <dcterms:modified xsi:type="dcterms:W3CDTF">2025-11-24T16:31:59Z</dcterms:modified>
</cp:coreProperties>
</file>